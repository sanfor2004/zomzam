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<sst xmlns="http://schemas.openxmlformats.org/spreadsheetml/2006/main" count="86" uniqueCount="51">
  <si>
    <t>Needs</t>
  </si>
  <si>
    <t>Wants</t>
  </si>
  <si>
    <t>Saving Or Debt</t>
  </si>
  <si>
    <t>Fixed expenses &amp; Needs</t>
  </si>
  <si>
    <t>Variable expenses</t>
  </si>
  <si>
    <t>60%</t>
  </si>
  <si>
    <t>20%</t>
  </si>
  <si>
    <t>Spent Limitation</t>
  </si>
  <si>
    <t>Spent it</t>
  </si>
  <si>
    <t>Insurance</t>
  </si>
  <si>
    <t>Nothing</t>
  </si>
  <si>
    <t>Food &amp; Groceries</t>
  </si>
  <si>
    <t>Remain or inability</t>
  </si>
  <si>
    <t>internet</t>
  </si>
  <si>
    <t>Personal hygiene</t>
  </si>
  <si>
    <t>Electricity &amp; Gas</t>
  </si>
  <si>
    <t>USD</t>
  </si>
  <si>
    <t>Salary /m</t>
  </si>
  <si>
    <t>Net Income /m</t>
  </si>
  <si>
    <t>Cat food</t>
  </si>
  <si>
    <t>EGP</t>
  </si>
  <si>
    <t>Source</t>
  </si>
  <si>
    <t>Money Lend Or Extra Bounce /m</t>
  </si>
  <si>
    <t>Expenses net</t>
  </si>
  <si>
    <t>Remain net /m</t>
  </si>
  <si>
    <t>For People Needs</t>
  </si>
  <si>
    <t>Banks Account I have</t>
  </si>
  <si>
    <t>Out Side Money Lend</t>
  </si>
  <si>
    <t>Banque Misr VISA USD Debit</t>
  </si>
  <si>
    <t>..4193</t>
  </si>
  <si>
    <t>Egypt Post VISA EGP Debit</t>
  </si>
  <si>
    <t>..1154</t>
  </si>
  <si>
    <t>unknown</t>
  </si>
  <si>
    <t>Where My Card Registed</t>
  </si>
  <si>
    <t>Bank Used</t>
  </si>
  <si>
    <t>PayPal</t>
  </si>
  <si>
    <t>CVV</t>
  </si>
  <si>
    <t>Fiverr</t>
  </si>
  <si>
    <t>Github</t>
  </si>
  <si>
    <t>Behance</t>
  </si>
  <si>
    <t>CVV with (PayPal)</t>
  </si>
  <si>
    <t>Dribbble</t>
  </si>
  <si>
    <t>IBAN with (Stripe)</t>
  </si>
  <si>
    <t>Total Lend</t>
  </si>
  <si>
    <t>UpWork</t>
  </si>
  <si>
    <t>Discord</t>
  </si>
  <si>
    <t>Amazon</t>
  </si>
  <si>
    <t>Google play</t>
  </si>
  <si>
    <t>MicroSoft</t>
  </si>
  <si>
    <t>LinkedIn</t>
  </si>
  <si>
    <t>League of Legends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</si>
</sst>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EGP-C01]* #,##0.00_);_([$EGP-C01]* \(#,##0.00\);_([$EGP-C01]* &quot;-&quot;??.00_);_(@_)"/>
    <numFmt numFmtId="165" formatCode="_([$EGP-C01]* #,##0_);_([$EGP-C01]* \(#,##0\);_([$EGP-C01]* &quot;-&quot;??_);_(@_)"/>
    <numFmt numFmtId="166" formatCode="dddd&quot;، &quot;d&quot; &quot;mmmm&quot; &quot;yyyy"/>
    <numFmt numFmtId="167" formatCode="_([$EGP-C01]* #,##0.00_);_([$EGP-C01]* \(#,##0.00\);_([$EGP-C01]* &quot;-&quot;??_);_(@_)"/>
  </numFmts>
  <fonts count="34">
    <font>
      <sz val="10.0"/>
      <color rgb="FF000000"/>
      <name val="Arial"/>
      <scheme val="minor"/>
    </font>
    <font>
      <b/>
      <i/>
      <color theme="1"/>
      <name val="Cairo"/>
    </font>
    <font>
      <b/>
      <i/>
      <sz val="11.0"/>
      <color rgb="FFBF9000"/>
      <name val="Cairo"/>
    </font>
    <font>
      <b/>
      <i/>
      <sz val="11.0"/>
      <color rgb="FF990000"/>
      <name val="Cairo"/>
    </font>
    <font>
      <b/>
      <i/>
      <sz val="11.0"/>
      <color rgb="FF38761D"/>
      <name val="Cairo"/>
    </font>
    <font>
      <b/>
      <i/>
      <sz val="14.0"/>
      <color rgb="FF434343"/>
      <name val="Cairo"/>
    </font>
    <font/>
    <font>
      <b/>
      <i/>
      <sz val="14.0"/>
      <color rgb="FFEFEFEF"/>
      <name val="Cairo"/>
    </font>
    <font>
      <b/>
      <i/>
      <sz val="11.0"/>
      <color rgb="FFEFEFEF"/>
      <name val="Cairo"/>
    </font>
    <font>
      <b/>
      <i/>
      <sz val="11.0"/>
      <color rgb="FFD9D9D9"/>
      <name val="Cairo"/>
    </font>
    <font>
      <b/>
      <i/>
      <color rgb="FFD9D9D9"/>
      <name val="Cairo"/>
    </font>
    <font>
      <b/>
      <i/>
      <color rgb="FF434343"/>
      <name val="Cairo"/>
    </font>
    <font>
      <b/>
      <i/>
      <color rgb="FFEFEFEF"/>
      <name val="Cairo"/>
    </font>
    <font>
      <b/>
      <i/>
      <sz val="11.0"/>
      <color rgb="FF434343"/>
      <name val="Cairo"/>
    </font>
    <font>
      <b/>
      <i/>
      <color rgb="FF7F6000"/>
      <name val="Cairo"/>
    </font>
    <font>
      <b/>
      <i/>
      <color rgb="FF660000"/>
      <name val="Cairo"/>
    </font>
    <font>
      <color theme="1"/>
      <name val="Cairo"/>
    </font>
    <font>
      <b/>
      <i/>
      <color rgb="FFFFFFFF"/>
      <name val="Cairo"/>
    </font>
    <font>
      <b/>
      <i/>
      <color rgb="FF274E13"/>
      <name val="Cairo"/>
    </font>
    <font>
      <b/>
      <i/>
      <color rgb="FFF3F3F3"/>
      <name val="Cairo"/>
    </font>
    <font>
      <b/>
      <i/>
      <color rgb="FF0C343D"/>
      <name val="Cairo"/>
    </font>
    <font>
      <b/>
      <i/>
      <color rgb="FF20124D"/>
      <name val="Cairo"/>
    </font>
    <font>
      <b/>
      <i/>
      <sz val="11.0"/>
      <color rgb="FF0C343D"/>
      <name val="Cairo"/>
    </font>
    <font>
      <b/>
      <i/>
      <sz val="11.0"/>
      <color rgb="FF20124D"/>
      <name val="Cairo"/>
    </font>
    <font>
      <b/>
      <i/>
      <sz val="11.0"/>
      <color rgb="FF000000"/>
      <name val="Cairo"/>
    </font>
    <font>
      <b/>
      <i/>
      <sz val="11.0"/>
      <color rgb="FF134F5C"/>
      <name val="Cairo"/>
    </font>
    <font>
      <b/>
      <i/>
      <sz val="11.0"/>
      <color rgb="FF274E13"/>
      <name val="Cairo"/>
    </font>
    <font>
      <b/>
      <i/>
      <sz val="13.0"/>
      <color rgb="FFD9D9D9"/>
      <name val="Cairo"/>
    </font>
    <font>
      <b/>
      <i/>
      <sz val="10.0"/>
      <color rgb="FF434343"/>
      <name val="Cairo"/>
    </font>
    <font>
      <b/>
      <i/>
      <color rgb="FF980000"/>
      <name val="Cairo"/>
    </font>
    <font>
      <b/>
      <i/>
      <color rgb="FF38761D"/>
      <name val="Cairo"/>
    </font>
    <font>
      <b/>
      <i/>
      <color rgb="FF990000"/>
      <name val="Cairo"/>
    </font>
    <font>
      <color theme="1"/>
      <name val="Arial"/>
    </font>
    <font>
      <b/>
      <i/>
      <sz val="11.0"/>
      <color rgb="FF980000"/>
      <name val="Cairo"/>
    </font>
  </fonts>
  <fills count="2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A61C00"/>
        <bgColor rgb="FFA61C00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CC4125"/>
        <bgColor rgb="FFCC4125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660000"/>
        <bgColor rgb="FF66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</fills>
  <borders count="29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666666"/>
      </left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274E13"/>
      </left>
      <top style="medium">
        <color rgb="FF274E13"/>
      </top>
      <bottom style="medium">
        <color rgb="FF274E13"/>
      </bottom>
    </border>
    <border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980000"/>
      </left>
      <top style="medium">
        <color rgb="FF980000"/>
      </top>
    </border>
    <border>
      <right style="medium">
        <color rgb="FF980000"/>
      </right>
      <top style="medium">
        <color rgb="FF980000"/>
      </top>
    </border>
    <border>
      <left style="medium">
        <color rgb="FF274E13"/>
      </left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980000"/>
      </left>
      <bottom style="medium">
        <color rgb="FF980000"/>
      </bottom>
    </border>
    <border>
      <right style="medium">
        <color rgb="FF980000"/>
      </right>
      <bottom style="medium">
        <color rgb="FF980000"/>
      </bottom>
    </border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980000"/>
      </bottom>
    </border>
    <border>
      <left style="medium">
        <color rgb="FF1C4587"/>
      </left>
      <top style="medium">
        <color rgb="FF1C4587"/>
      </top>
      <bottom style="medium">
        <color rgb="FF1C4587"/>
      </bottom>
    </border>
    <border>
      <right style="medium">
        <color rgb="FF1C4587"/>
      </right>
      <top style="medium">
        <color rgb="FF1C4587"/>
      </top>
      <bottom style="medium">
        <color rgb="FF1C4587"/>
      </bottom>
    </border>
    <border>
      <left style="medium">
        <color rgb="FF1C4587"/>
      </left>
      <right style="medium">
        <color rgb="FF1C4587"/>
      </right>
      <top style="medium">
        <color rgb="FF1C4587"/>
      </top>
      <bottom style="medium">
        <color rgb="FF1C4587"/>
      </bottom>
    </border>
    <border>
      <left style="medium">
        <color rgb="FF980000"/>
      </left>
      <top style="medium">
        <color rgb="FF980000"/>
      </top>
      <bottom style="medium">
        <color rgb="FF980000"/>
      </bottom>
    </border>
    <border>
      <right style="medium">
        <color rgb="FF980000"/>
      </right>
      <top style="medium">
        <color rgb="FF980000"/>
      </top>
      <bottom style="medium">
        <color rgb="FF98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2" fillId="4" fontId="7" numFmtId="0" xfId="0" applyAlignment="1" applyBorder="1" applyFill="1" applyFont="1">
      <alignment horizontal="center" vertical="center"/>
    </xf>
    <xf borderId="1" fillId="5" fontId="8" numFmtId="164" xfId="0" applyAlignment="1" applyBorder="1" applyFill="1" applyFont="1" applyNumberFormat="1">
      <alignment horizontal="center" readingOrder="0" vertical="center"/>
    </xf>
    <xf borderId="1" fillId="6" fontId="8" numFmtId="164" xfId="0" applyAlignment="1" applyBorder="1" applyFill="1" applyFont="1" applyNumberFormat="1">
      <alignment horizontal="center" readingOrder="0" vertical="center"/>
    </xf>
    <xf borderId="1" fillId="7" fontId="8" numFmtId="164" xfId="0" applyAlignment="1" applyBorder="1" applyFill="1" applyFont="1" applyNumberForma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8" fontId="9" numFmtId="164" xfId="0" applyAlignment="1" applyBorder="1" applyFill="1" applyFont="1" applyNumberFormat="1">
      <alignment horizontal="center" readingOrder="0" shrinkToFit="0" vertical="center" wrapText="1"/>
    </xf>
    <xf borderId="1" fillId="8" fontId="10" numFmtId="164" xfId="0" applyAlignment="1" applyBorder="1" applyFont="1" applyNumberFormat="1">
      <alignment horizontal="center" vertical="center"/>
    </xf>
    <xf borderId="7" fillId="9" fontId="11" numFmtId="165" xfId="0" applyAlignment="1" applyBorder="1" applyFill="1" applyFont="1" applyNumberFormat="1">
      <alignment horizontal="center" vertical="center"/>
    </xf>
    <xf borderId="8" fillId="0" fontId="6" numFmtId="0" xfId="0" applyBorder="1" applyFont="1"/>
    <xf borderId="7" fillId="10" fontId="12" numFmtId="165" xfId="0" applyAlignment="1" applyBorder="1" applyFill="1" applyFont="1" applyNumberFormat="1">
      <alignment horizontal="center" vertical="center"/>
    </xf>
    <xf borderId="9" fillId="0" fontId="6" numFmtId="0" xfId="0" applyBorder="1" applyFont="1"/>
    <xf borderId="1" fillId="8" fontId="10" numFmtId="44" xfId="0" applyAlignment="1" applyBorder="1" applyFont="1" applyNumberFormat="1">
      <alignment horizontal="center" vertical="center"/>
    </xf>
    <xf borderId="0" fillId="0" fontId="1" numFmtId="0" xfId="0" applyFont="1"/>
    <xf borderId="7" fillId="9" fontId="13" numFmtId="44" xfId="0" applyAlignment="1" applyBorder="1" applyFont="1" applyNumberFormat="1">
      <alignment horizontal="right" readingOrder="0" shrinkToFit="0" vertical="center" wrapText="0"/>
    </xf>
    <xf borderId="7" fillId="10" fontId="8" numFmtId="44" xfId="0" applyAlignment="1" applyBorder="1" applyFont="1" applyNumberFormat="1">
      <alignment horizontal="right" readingOrder="0" shrinkToFit="0" vertical="center" wrapText="0"/>
    </xf>
    <xf borderId="6" fillId="11" fontId="8" numFmtId="164" xfId="0" applyAlignment="1" applyBorder="1" applyFill="1" applyFont="1" applyNumberFormat="1">
      <alignment horizontal="center" readingOrder="0" vertical="center"/>
    </xf>
    <xf borderId="1" fillId="11" fontId="12" numFmtId="164" xfId="0" applyAlignment="1" applyBorder="1" applyFont="1" applyNumberFormat="1">
      <alignment vertical="center"/>
    </xf>
    <xf borderId="10" fillId="12" fontId="14" numFmtId="0" xfId="0" applyAlignment="1" applyBorder="1" applyFill="1" applyFont="1">
      <alignment readingOrder="0" vertical="center"/>
    </xf>
    <xf borderId="10" fillId="12" fontId="11" numFmtId="164" xfId="0" applyAlignment="1" applyBorder="1" applyFont="1" applyNumberFormat="1">
      <alignment readingOrder="0" vertical="center"/>
    </xf>
    <xf borderId="10" fillId="13" fontId="15" numFmtId="0" xfId="0" applyAlignment="1" applyBorder="1" applyFill="1" applyFont="1">
      <alignment readingOrder="0" vertical="center"/>
    </xf>
    <xf borderId="10" fillId="13" fontId="11" numFmtId="164" xfId="0" applyAlignment="1" applyBorder="1" applyFont="1" applyNumberFormat="1">
      <alignment readingOrder="0" vertical="center"/>
    </xf>
    <xf borderId="1" fillId="11" fontId="8" numFmtId="44" xfId="0" applyAlignment="1" applyBorder="1" applyFont="1" applyNumberFormat="1">
      <alignment horizontal="center" shrinkToFit="0" vertical="center" wrapText="0"/>
    </xf>
    <xf borderId="10" fillId="12" fontId="14" numFmtId="0" xfId="0" applyAlignment="1" applyBorder="1" applyFont="1">
      <alignment vertical="center"/>
    </xf>
    <xf borderId="6" fillId="14" fontId="11" numFmtId="164" xfId="0" applyAlignment="1" applyBorder="1" applyFill="1" applyFont="1" applyNumberFormat="1">
      <alignment horizontal="center" readingOrder="0" shrinkToFit="0" textRotation="0" vertical="center" wrapText="1"/>
    </xf>
    <xf borderId="6" fillId="14" fontId="11" numFmtId="164" xfId="0" applyAlignment="1" applyBorder="1" applyFont="1" applyNumberFormat="1">
      <alignment vertical="center"/>
    </xf>
    <xf borderId="6" fillId="14" fontId="11" numFmtId="44" xfId="0" applyAlignment="1" applyBorder="1" applyFont="1" applyNumberFormat="1">
      <alignment vertical="center"/>
    </xf>
    <xf borderId="0" fillId="0" fontId="16" numFmtId="0" xfId="0" applyFont="1"/>
    <xf borderId="10" fillId="12" fontId="11" numFmtId="164" xfId="0" applyAlignment="1" applyBorder="1" applyFont="1" applyNumberFormat="1">
      <alignment vertical="center"/>
    </xf>
    <xf borderId="11" fillId="15" fontId="17" numFmtId="164" xfId="0" applyAlignment="1" applyBorder="1" applyFill="1" applyFont="1" applyNumberFormat="1">
      <alignment horizontal="center" readingOrder="0" vertical="center"/>
    </xf>
    <xf borderId="11" fillId="16" fontId="18" numFmtId="44" xfId="0" applyAlignment="1" applyBorder="1" applyFill="1" applyFont="1" applyNumberFormat="1">
      <alignment horizontal="center" readingOrder="0" shrinkToFit="0" vertical="center" wrapText="0"/>
    </xf>
    <xf borderId="11" fillId="17" fontId="19" numFmtId="164" xfId="0" applyAlignment="1" applyBorder="1" applyFill="1" applyFont="1" applyNumberFormat="1">
      <alignment horizontal="center" readingOrder="0" vertical="center"/>
    </xf>
    <xf borderId="11" fillId="18" fontId="19" numFmtId="164" xfId="0" applyAlignment="1" applyBorder="1" applyFill="1" applyFont="1" applyNumberFormat="1">
      <alignment horizontal="center" vertical="center"/>
    </xf>
    <xf borderId="11" fillId="19" fontId="17" numFmtId="164" xfId="0" applyAlignment="1" applyBorder="1" applyFill="1" applyFont="1" applyNumberFormat="1">
      <alignment horizontal="center" readingOrder="0" vertical="center"/>
    </xf>
    <xf borderId="11" fillId="20" fontId="15" numFmtId="164" xfId="0" applyAlignment="1" applyBorder="1" applyFill="1" applyFont="1" applyNumberFormat="1">
      <alignment horizontal="center" readingOrder="0" shrinkToFit="0" vertical="center" wrapText="0"/>
    </xf>
    <xf borderId="11" fillId="21" fontId="20" numFmtId="164" xfId="0" applyAlignment="1" applyBorder="1" applyFill="1" applyFont="1" applyNumberFormat="1">
      <alignment horizontal="left" readingOrder="0" vertical="center"/>
    </xf>
    <xf borderId="11" fillId="21" fontId="2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vertical="center"/>
    </xf>
    <xf borderId="0" fillId="15" fontId="10" numFmtId="166" xfId="0" applyAlignment="1" applyFont="1" applyNumberFormat="1">
      <alignment horizontal="center" readingOrder="0" vertical="center"/>
    </xf>
    <xf borderId="12" fillId="22" fontId="22" numFmtId="44" xfId="0" applyAlignment="1" applyBorder="1" applyFill="1" applyFont="1" applyNumberFormat="1">
      <alignment horizontal="right" readingOrder="0" shrinkToFit="0" vertical="center" wrapText="0"/>
    </xf>
    <xf borderId="11" fillId="22" fontId="23" numFmtId="44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vertical="center"/>
    </xf>
    <xf borderId="13" fillId="7" fontId="19" numFmtId="0" xfId="0" applyAlignment="1" applyBorder="1" applyFont="1">
      <alignment horizontal="left" readingOrder="0" vertical="center"/>
    </xf>
    <xf borderId="14" fillId="15" fontId="19" numFmtId="0" xfId="0" applyAlignment="1" applyBorder="1" applyFont="1">
      <alignment horizontal="center" readingOrder="0" vertical="center"/>
    </xf>
    <xf borderId="15" fillId="0" fontId="6" numFmtId="0" xfId="0" applyBorder="1" applyFont="1"/>
    <xf borderId="13" fillId="14" fontId="1" numFmtId="0" xfId="0" applyAlignment="1" applyBorder="1" applyFont="1">
      <alignment readingOrder="0" vertical="center"/>
    </xf>
    <xf borderId="13" fillId="0" fontId="1" numFmtId="165" xfId="0" applyAlignment="1" applyBorder="1" applyFont="1" applyNumberFormat="1">
      <alignment horizontal="left" readingOrder="0" vertical="center"/>
    </xf>
    <xf borderId="13" fillId="14" fontId="24" numFmtId="44" xfId="0" applyAlignment="1" applyBorder="1" applyFont="1" applyNumberFormat="1">
      <alignment horizontal="center" shrinkToFit="0" vertical="center" wrapText="0"/>
    </xf>
    <xf borderId="13" fillId="14" fontId="1" numFmtId="0" xfId="0" applyAlignment="1" applyBorder="1" applyFont="1">
      <alignment vertical="center"/>
    </xf>
    <xf borderId="10" fillId="17" fontId="12" numFmtId="0" xfId="0" applyAlignment="1" applyBorder="1" applyFont="1">
      <alignment horizontal="center" readingOrder="0" vertical="center"/>
    </xf>
    <xf borderId="10" fillId="15" fontId="12" numFmtId="0" xfId="0" applyAlignment="1" applyBorder="1" applyFont="1">
      <alignment horizontal="center" readingOrder="0" vertical="center"/>
    </xf>
    <xf borderId="10" fillId="0" fontId="25" numFmtId="165" xfId="0" applyAlignment="1" applyBorder="1" applyFont="1" applyNumberFormat="1">
      <alignment horizontal="right" vertical="center"/>
    </xf>
    <xf borderId="10" fillId="0" fontId="26" numFmtId="167" xfId="0" applyAlignment="1" applyBorder="1" applyFont="1" applyNumberFormat="1">
      <alignment horizontal="right" readingOrder="0" vertical="center"/>
    </xf>
    <xf borderId="10" fillId="0" fontId="25" numFmtId="44" xfId="0" applyAlignment="1" applyBorder="1" applyFont="1" applyNumberFormat="1">
      <alignment horizontal="right" readingOrder="0" shrinkToFit="0" vertical="center" wrapText="0"/>
    </xf>
    <xf borderId="10" fillId="0" fontId="26" numFmtId="44" xfId="0" applyAlignment="1" applyBorder="1" applyFont="1" applyNumberFormat="1">
      <alignment horizontal="right" readingOrder="0" shrinkToFit="0" vertical="center" wrapText="0"/>
    </xf>
    <xf borderId="16" fillId="15" fontId="12" numFmtId="0" xfId="0" applyAlignment="1" applyBorder="1" applyFont="1">
      <alignment horizontal="center" readingOrder="0" vertical="center"/>
    </xf>
    <xf borderId="17" fillId="0" fontId="6" numFmtId="0" xfId="0" applyBorder="1" applyFont="1"/>
    <xf borderId="18" fillId="23" fontId="27" numFmtId="0" xfId="0" applyAlignment="1" applyBorder="1" applyFill="1" applyFont="1">
      <alignment horizontal="center" readingOrder="0" textRotation="0" vertical="center"/>
    </xf>
    <xf borderId="19" fillId="0" fontId="6" numFmtId="0" xfId="0" applyBorder="1" applyFont="1"/>
    <xf borderId="20" fillId="16" fontId="11" numFmtId="0" xfId="0" applyAlignment="1" applyBorder="1" applyFont="1">
      <alignment horizontal="center" readingOrder="0" vertical="center"/>
    </xf>
    <xf borderId="21" fillId="0" fontId="6" numFmtId="0" xfId="0" applyBorder="1" applyFont="1"/>
    <xf borderId="22" fillId="0" fontId="6" numFmtId="0" xfId="0" applyBorder="1" applyFont="1"/>
    <xf borderId="23" fillId="12" fontId="28" numFmtId="0" xfId="0" applyAlignment="1" applyBorder="1" applyFont="1">
      <alignment readingOrder="0" vertical="center"/>
    </xf>
    <xf borderId="23" fillId="21" fontId="29" numFmtId="165" xfId="0" applyAlignment="1" applyBorder="1" applyFont="1" applyNumberFormat="1">
      <alignment readingOrder="0" vertical="center"/>
    </xf>
    <xf borderId="24" fillId="24" fontId="12" numFmtId="0" xfId="0" applyAlignment="1" applyBorder="1" applyFill="1" applyFont="1">
      <alignment horizontal="center" readingOrder="0" vertical="center"/>
    </xf>
    <xf borderId="25" fillId="0" fontId="6" numFmtId="0" xfId="0" applyBorder="1" applyFont="1"/>
    <xf borderId="17" fillId="15" fontId="12" numFmtId="0" xfId="0" applyAlignment="1" applyBorder="1" applyFont="1">
      <alignment horizontal="center" readingOrder="0" vertical="center"/>
    </xf>
    <xf borderId="26" fillId="25" fontId="11" numFmtId="0" xfId="0" applyAlignment="1" applyBorder="1" applyFill="1" applyFont="1">
      <alignment horizontal="center" readingOrder="0" vertical="center"/>
    </xf>
    <xf borderId="24" fillId="25" fontId="11" numFmtId="0" xfId="0" applyAlignment="1" applyBorder="1" applyFont="1">
      <alignment horizontal="center" readingOrder="0" vertical="center"/>
    </xf>
    <xf borderId="20" fillId="16" fontId="30" numFmtId="0" xfId="0" applyAlignment="1" applyBorder="1" applyFont="1">
      <alignment horizontal="center" readingOrder="0" vertical="center"/>
    </xf>
    <xf borderId="26" fillId="20" fontId="29" numFmtId="0" xfId="0" applyAlignment="1" applyBorder="1" applyFont="1">
      <alignment horizontal="center" readingOrder="0" vertical="center"/>
    </xf>
    <xf borderId="24" fillId="20" fontId="29" numFmtId="0" xfId="0" applyAlignment="1" applyBorder="1" applyFont="1">
      <alignment horizontal="center" readingOrder="0" vertical="center"/>
    </xf>
    <xf borderId="20" fillId="20" fontId="29" numFmtId="0" xfId="0" applyAlignment="1" applyBorder="1" applyFont="1">
      <alignment horizontal="center" vertical="center"/>
    </xf>
    <xf borderId="26" fillId="20" fontId="31" numFmtId="0" xfId="0" applyAlignment="1" applyBorder="1" applyFont="1">
      <alignment horizontal="center" readingOrder="0" vertical="center"/>
    </xf>
    <xf borderId="24" fillId="20" fontId="31" numFmtId="0" xfId="0" applyAlignment="1" applyBorder="1" applyFont="1">
      <alignment horizontal="center" readingOrder="0" vertical="center"/>
    </xf>
    <xf borderId="20" fillId="20" fontId="31" numFmtId="0" xfId="0" applyAlignment="1" applyBorder="1" applyFont="1">
      <alignment horizontal="center" vertical="center"/>
    </xf>
    <xf borderId="20" fillId="16" fontId="30" numFmtId="0" xfId="0" applyAlignment="1" applyBorder="1" applyFont="1">
      <alignment horizontal="center" vertical="center"/>
    </xf>
    <xf borderId="27" fillId="23" fontId="12" numFmtId="0" xfId="0" applyAlignment="1" applyBorder="1" applyFont="1">
      <alignment horizontal="center" readingOrder="0" vertical="center"/>
    </xf>
    <xf borderId="28" fillId="0" fontId="6" numFmtId="0" xfId="0" applyBorder="1" applyFont="1"/>
    <xf borderId="27" fillId="21" fontId="29" numFmtId="165" xfId="0" applyAlignment="1" applyBorder="1" applyFont="1" applyNumberFormat="1">
      <alignment readingOrder="0" vertical="center"/>
    </xf>
    <xf borderId="0" fillId="0" fontId="32" numFmtId="0" xfId="0" applyFont="1"/>
    <xf borderId="27" fillId="21" fontId="33" numFmtId="44" xfId="0" applyAlignment="1" applyBorder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3.0"/>
    <col customWidth="1" min="3" max="3" width="17.75"/>
    <col customWidth="1" min="4" max="4" width="17.25"/>
    <col customWidth="1" min="5" max="5" width="3.25"/>
    <col customWidth="1" min="6" max="6" width="22.25"/>
    <col customWidth="1" min="7" max="7" width="20.88"/>
    <col customWidth="1" min="8" max="8" width="21.25"/>
    <col customWidth="1" min="9" max="9" width="21.5"/>
    <col customWidth="1" min="10" max="10" width="16.63"/>
    <col customWidth="1" min="11" max="11" width="16.38"/>
    <col customWidth="1" min="14" max="14" width="15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A3" s="2"/>
      <c r="B3" s="3" t="s">
        <v>0</v>
      </c>
      <c r="C3" s="4" t="s">
        <v>1</v>
      </c>
      <c r="D3" s="5" t="s">
        <v>2</v>
      </c>
      <c r="E3" s="6"/>
      <c r="F3" s="7" t="s">
        <v>3</v>
      </c>
      <c r="G3" s="8"/>
      <c r="H3" s="9" t="s">
        <v>4</v>
      </c>
      <c r="I3" s="8"/>
    </row>
    <row r="4" ht="20.25" customHeight="1">
      <c r="A4" s="2"/>
      <c r="B4" s="10" t="s">
        <v>5</v>
      </c>
      <c r="C4" s="11" t="s">
        <v>6</v>
      </c>
      <c r="D4" s="12" t="s">
        <v>6</v>
      </c>
      <c r="E4" s="6"/>
      <c r="F4" s="13"/>
      <c r="G4" s="14"/>
      <c r="H4" s="13"/>
      <c r="I4" s="14"/>
    </row>
    <row r="5" ht="15.75" customHeight="1">
      <c r="A5" s="15" t="s">
        <v>7</v>
      </c>
      <c r="B5" s="16">
        <f>(D13/100*60)</f>
        <v>0</v>
      </c>
      <c r="C5" s="16">
        <f>(D13/100*20)</f>
        <v>0</v>
      </c>
      <c r="D5" s="16">
        <f>(D13/100*20)</f>
        <v>0</v>
      </c>
      <c r="E5" s="1"/>
      <c r="F5" s="17">
        <f>SUM(G7:G17)</f>
        <v>18334</v>
      </c>
      <c r="G5" s="18"/>
      <c r="H5" s="19">
        <f>SUM(I7:I16)</f>
        <v>0</v>
      </c>
      <c r="I5" s="18"/>
    </row>
    <row r="6" ht="15.75" customHeight="1">
      <c r="A6" s="20"/>
      <c r="B6" s="21">
        <f>((D13/B13)/100*50)</f>
        <v>0</v>
      </c>
      <c r="C6" s="21">
        <f>((D13/B13)/100*20)</f>
        <v>0</v>
      </c>
      <c r="D6" s="21">
        <f>((D13/B13)/100*20)</f>
        <v>0</v>
      </c>
      <c r="E6" s="22"/>
      <c r="F6" s="23">
        <f>F5/B13</f>
        <v>343.9774859</v>
      </c>
      <c r="G6" s="18"/>
      <c r="H6" s="24">
        <f>H5/B13</f>
        <v>0</v>
      </c>
      <c r="I6" s="18"/>
    </row>
    <row r="7" ht="15.75" customHeight="1">
      <c r="A7" s="25" t="s">
        <v>8</v>
      </c>
      <c r="B7" s="26">
        <f>SUM(G7:G18)</f>
        <v>18334</v>
      </c>
      <c r="C7" s="26">
        <f>SUM(I7:I18)</f>
        <v>0</v>
      </c>
      <c r="D7" s="26">
        <f>(B7+C7)</f>
        <v>18334</v>
      </c>
      <c r="E7" s="1"/>
      <c r="F7" s="27" t="s">
        <v>9</v>
      </c>
      <c r="G7" s="28">
        <f>0</f>
        <v>0</v>
      </c>
      <c r="H7" s="29" t="s">
        <v>10</v>
      </c>
      <c r="I7" s="30">
        <v>0.0</v>
      </c>
    </row>
    <row r="8" ht="15.75" customHeight="1">
      <c r="A8" s="20"/>
      <c r="B8" s="31">
        <f>B7/B13</f>
        <v>343.9774859</v>
      </c>
      <c r="C8" s="31">
        <f>C7/B13</f>
        <v>0</v>
      </c>
      <c r="D8" s="31">
        <f>D7/B13</f>
        <v>343.9774859</v>
      </c>
      <c r="E8" s="1"/>
      <c r="F8" s="32" t="s">
        <v>11</v>
      </c>
      <c r="G8" s="28">
        <v>15000.0</v>
      </c>
      <c r="H8" s="29" t="s">
        <v>10</v>
      </c>
      <c r="I8" s="30">
        <v>0.0</v>
      </c>
    </row>
    <row r="9" ht="15.75" customHeight="1">
      <c r="A9" s="33" t="s">
        <v>12</v>
      </c>
      <c r="B9" s="34">
        <f t="shared" ref="B9:C9" si="1">B5-B7</f>
        <v>-18334</v>
      </c>
      <c r="C9" s="34">
        <f t="shared" si="1"/>
        <v>0</v>
      </c>
      <c r="D9" s="34">
        <f t="shared" ref="D9:D10" si="3">D13-D7</f>
        <v>-18334</v>
      </c>
      <c r="E9" s="1"/>
      <c r="F9" s="32" t="s">
        <v>13</v>
      </c>
      <c r="G9" s="28">
        <v>784.0</v>
      </c>
      <c r="H9" s="29" t="s">
        <v>10</v>
      </c>
      <c r="I9" s="30">
        <v>0.0</v>
      </c>
    </row>
    <row r="10" ht="15.75" customHeight="1">
      <c r="A10" s="20"/>
      <c r="B10" s="35">
        <f t="shared" ref="B10:C10" si="2">B6-B8</f>
        <v>-343.9774859</v>
      </c>
      <c r="C10" s="35">
        <f t="shared" si="2"/>
        <v>0</v>
      </c>
      <c r="D10" s="35">
        <f t="shared" si="3"/>
        <v>-343.9774859</v>
      </c>
      <c r="E10" s="1"/>
      <c r="F10" s="32" t="s">
        <v>14</v>
      </c>
      <c r="G10" s="28">
        <v>1000.0</v>
      </c>
      <c r="H10" s="29" t="s">
        <v>10</v>
      </c>
      <c r="I10" s="30">
        <v>0.0</v>
      </c>
    </row>
    <row r="11" ht="15.75" customHeight="1">
      <c r="A11" s="36"/>
      <c r="B11" s="36"/>
      <c r="C11" s="36"/>
      <c r="D11" s="36"/>
      <c r="E11" s="1"/>
      <c r="F11" s="32" t="s">
        <v>15</v>
      </c>
      <c r="G11" s="37">
        <v>800.0</v>
      </c>
      <c r="H11" s="29" t="s">
        <v>10</v>
      </c>
      <c r="I11" s="30">
        <v>0.0</v>
      </c>
    </row>
    <row r="12" ht="15.75" customHeight="1">
      <c r="A12" s="38" t="s">
        <v>16</v>
      </c>
      <c r="B12" s="39">
        <f>B13/53.3</f>
        <v>1</v>
      </c>
      <c r="C12" s="40" t="s">
        <v>17</v>
      </c>
      <c r="D12" s="41" t="s">
        <v>18</v>
      </c>
      <c r="E12" s="1"/>
      <c r="F12" s="27" t="s">
        <v>19</v>
      </c>
      <c r="G12" s="28">
        <v>750.0</v>
      </c>
      <c r="H12" s="29" t="s">
        <v>10</v>
      </c>
      <c r="I12" s="30">
        <v>0.0</v>
      </c>
    </row>
    <row r="13" ht="15.75" customHeight="1">
      <c r="A13" s="42" t="s">
        <v>20</v>
      </c>
      <c r="B13" s="43">
        <f>53.3</f>
        <v>53.3</v>
      </c>
      <c r="C13" s="44">
        <f>C14*B13</f>
        <v>0</v>
      </c>
      <c r="D13" s="45">
        <f>SUM(C13,C17:C21)</f>
        <v>0</v>
      </c>
      <c r="E13" s="1"/>
      <c r="F13" s="27" t="s">
        <v>10</v>
      </c>
      <c r="G13" s="28">
        <v>0.0</v>
      </c>
      <c r="H13" s="29" t="s">
        <v>10</v>
      </c>
      <c r="I13" s="30">
        <v>0.0</v>
      </c>
    </row>
    <row r="14" ht="15.75" customHeight="1">
      <c r="A14" s="46"/>
      <c r="B14" s="47">
        <v>46147.0</v>
      </c>
      <c r="C14" s="48">
        <f>0</f>
        <v>0</v>
      </c>
      <c r="D14" s="49">
        <f>SUM(C14,D17:D21)</f>
        <v>0</v>
      </c>
      <c r="E14" s="1"/>
      <c r="F14" s="27" t="s">
        <v>10</v>
      </c>
      <c r="G14" s="28">
        <v>0.0</v>
      </c>
      <c r="H14" s="29" t="s">
        <v>10</v>
      </c>
      <c r="I14" s="30">
        <v>0.0</v>
      </c>
    </row>
    <row r="15" ht="15.75" customHeight="1">
      <c r="A15" s="1"/>
      <c r="B15" s="50"/>
      <c r="C15" s="1"/>
      <c r="D15" s="1"/>
      <c r="E15" s="1"/>
      <c r="F15" s="27" t="s">
        <v>10</v>
      </c>
      <c r="G15" s="28">
        <v>0.0</v>
      </c>
      <c r="H15" s="29" t="s">
        <v>10</v>
      </c>
      <c r="I15" s="30">
        <v>0.0</v>
      </c>
    </row>
    <row r="16" ht="15.75" customHeight="1">
      <c r="A16" s="1"/>
      <c r="B16" s="51" t="s">
        <v>21</v>
      </c>
      <c r="C16" s="52" t="s">
        <v>22</v>
      </c>
      <c r="D16" s="53"/>
      <c r="E16" s="1"/>
      <c r="F16" s="27" t="s">
        <v>10</v>
      </c>
      <c r="G16" s="28">
        <v>0.0</v>
      </c>
      <c r="H16" s="29" t="s">
        <v>10</v>
      </c>
      <c r="I16" s="30">
        <v>0.0</v>
      </c>
    </row>
    <row r="17" ht="15.75" customHeight="1">
      <c r="A17" s="1"/>
      <c r="B17" s="54"/>
      <c r="C17" s="55">
        <f>D17*B13</f>
        <v>0</v>
      </c>
      <c r="D17" s="56">
        <f>0</f>
        <v>0</v>
      </c>
      <c r="E17" s="1"/>
      <c r="F17" s="27" t="s">
        <v>10</v>
      </c>
      <c r="G17" s="28">
        <v>0.0</v>
      </c>
      <c r="H17" s="29" t="s">
        <v>10</v>
      </c>
      <c r="I17" s="30">
        <v>0.0</v>
      </c>
    </row>
    <row r="18" ht="15.75" customHeight="1">
      <c r="A18" s="1"/>
      <c r="B18" s="57"/>
      <c r="C18" s="55">
        <v>0.0</v>
      </c>
      <c r="D18" s="56">
        <f>C18/B10</f>
        <v>0</v>
      </c>
      <c r="E18" s="1"/>
      <c r="F18" s="27" t="s">
        <v>10</v>
      </c>
      <c r="G18" s="28">
        <v>0.0</v>
      </c>
      <c r="H18" s="29" t="s">
        <v>10</v>
      </c>
      <c r="I18" s="30">
        <v>0.0</v>
      </c>
    </row>
    <row r="19" ht="15.75" customHeight="1">
      <c r="A19" s="1"/>
      <c r="B19" s="57"/>
      <c r="C19" s="55">
        <v>0.0</v>
      </c>
      <c r="D19" s="56">
        <f>C19/B12</f>
        <v>0</v>
      </c>
      <c r="E19" s="1"/>
      <c r="F19" s="58" t="s">
        <v>23</v>
      </c>
      <c r="G19" s="58" t="s">
        <v>24</v>
      </c>
      <c r="H19" s="59" t="s">
        <v>25</v>
      </c>
      <c r="I19" s="1"/>
    </row>
    <row r="20" ht="15.75" customHeight="1">
      <c r="A20" s="1"/>
      <c r="B20" s="57"/>
      <c r="C20" s="55">
        <v>0.0</v>
      </c>
      <c r="D20" s="56">
        <f>C20/B12</f>
        <v>0</v>
      </c>
      <c r="E20" s="1"/>
      <c r="F20" s="60">
        <f>SUM(I7:I18,G7:G18,I25:I31,H20)</f>
        <v>19334</v>
      </c>
      <c r="G20" s="60">
        <f>D13-F20</f>
        <v>-19334</v>
      </c>
      <c r="H20" s="61">
        <v>1000.0</v>
      </c>
      <c r="I20" s="1"/>
    </row>
    <row r="21" ht="15.75" customHeight="1">
      <c r="A21" s="1"/>
      <c r="B21" s="57"/>
      <c r="C21" s="55">
        <v>0.0</v>
      </c>
      <c r="D21" s="56">
        <f>C21/B12</f>
        <v>0</v>
      </c>
      <c r="E21" s="1"/>
      <c r="F21" s="62">
        <f>F20/B13</f>
        <v>362.739212</v>
      </c>
      <c r="G21" s="62">
        <f>G20/B13</f>
        <v>-362.739212</v>
      </c>
      <c r="H21" s="63">
        <f>H20/B13</f>
        <v>18.76172608</v>
      </c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64" t="s">
        <v>26</v>
      </c>
      <c r="C23" s="65"/>
      <c r="D23" s="1"/>
      <c r="E23" s="1"/>
      <c r="F23" s="36"/>
      <c r="G23" s="36"/>
      <c r="H23" s="66" t="s">
        <v>27</v>
      </c>
      <c r="I23" s="67"/>
    </row>
    <row r="24" ht="15.75" customHeight="1">
      <c r="A24" s="1"/>
      <c r="B24" s="68" t="s">
        <v>28</v>
      </c>
      <c r="C24" s="68" t="s">
        <v>29</v>
      </c>
      <c r="D24" s="1"/>
      <c r="E24" s="1"/>
      <c r="F24" s="36"/>
      <c r="G24" s="36"/>
      <c r="H24" s="69"/>
      <c r="I24" s="70"/>
    </row>
    <row r="25" ht="15.75" customHeight="1">
      <c r="A25" s="1"/>
      <c r="B25" s="68" t="s">
        <v>30</v>
      </c>
      <c r="C25" s="68" t="s">
        <v>31</v>
      </c>
      <c r="D25" s="1"/>
      <c r="E25" s="1"/>
      <c r="F25" s="36"/>
      <c r="G25" s="36"/>
      <c r="H25" s="71" t="s">
        <v>32</v>
      </c>
      <c r="I25" s="72">
        <v>0.0</v>
      </c>
    </row>
    <row r="26" ht="15.75" customHeight="1">
      <c r="A26" s="1"/>
      <c r="B26" s="1"/>
      <c r="C26" s="1"/>
      <c r="D26" s="1"/>
      <c r="E26" s="1"/>
      <c r="F26" s="36"/>
      <c r="G26" s="36"/>
      <c r="H26" s="71" t="s">
        <v>32</v>
      </c>
      <c r="I26" s="72">
        <v>0.0</v>
      </c>
    </row>
    <row r="27" ht="15.75" customHeight="1">
      <c r="A27" s="1"/>
      <c r="B27" s="73" t="s">
        <v>33</v>
      </c>
      <c r="C27" s="74"/>
      <c r="D27" s="75" t="s">
        <v>34</v>
      </c>
      <c r="E27" s="1"/>
      <c r="F27" s="36"/>
      <c r="G27" s="36"/>
      <c r="H27" s="71" t="s">
        <v>32</v>
      </c>
      <c r="I27" s="72">
        <v>0.0</v>
      </c>
    </row>
    <row r="28" ht="15.75" customHeight="1">
      <c r="A28" s="1"/>
      <c r="B28" s="76" t="s">
        <v>35</v>
      </c>
      <c r="C28" s="77" t="s">
        <v>36</v>
      </c>
      <c r="D28" s="78" t="str">
        <f>C25</f>
        <v>..1154</v>
      </c>
      <c r="E28" s="1"/>
      <c r="F28" s="36"/>
      <c r="G28" s="36"/>
      <c r="H28" s="71" t="s">
        <v>32</v>
      </c>
      <c r="I28" s="72">
        <v>0.0</v>
      </c>
    </row>
    <row r="29" ht="15.75" customHeight="1">
      <c r="A29" s="1"/>
      <c r="B29" s="79" t="s">
        <v>37</v>
      </c>
      <c r="C29" s="80" t="s">
        <v>36</v>
      </c>
      <c r="D29" s="81" t="str">
        <f>C24</f>
        <v>..4193</v>
      </c>
      <c r="E29" s="1"/>
      <c r="F29" s="36"/>
      <c r="G29" s="36"/>
      <c r="H29" s="71" t="s">
        <v>32</v>
      </c>
      <c r="I29" s="72">
        <v>0.0</v>
      </c>
    </row>
    <row r="30" ht="15.75" customHeight="1">
      <c r="A30" s="1"/>
      <c r="B30" s="82" t="s">
        <v>38</v>
      </c>
      <c r="C30" s="83" t="s">
        <v>36</v>
      </c>
      <c r="D30" s="84" t="str">
        <f t="shared" ref="D30:D31" si="4">C24</f>
        <v>..4193</v>
      </c>
      <c r="E30" s="1"/>
      <c r="F30" s="36"/>
      <c r="G30" s="36"/>
      <c r="H30" s="71" t="s">
        <v>32</v>
      </c>
      <c r="I30" s="72">
        <v>0.0</v>
      </c>
    </row>
    <row r="31" ht="15.75" customHeight="1">
      <c r="A31" s="1"/>
      <c r="B31" s="76" t="s">
        <v>39</v>
      </c>
      <c r="C31" s="77" t="s">
        <v>40</v>
      </c>
      <c r="D31" s="85" t="str">
        <f t="shared" si="4"/>
        <v>..1154</v>
      </c>
      <c r="E31" s="1"/>
      <c r="F31" s="36"/>
      <c r="G31" s="36"/>
      <c r="H31" s="71" t="s">
        <v>32</v>
      </c>
      <c r="I31" s="72">
        <v>0.0</v>
      </c>
    </row>
    <row r="32" ht="15.75" customHeight="1">
      <c r="A32" s="1"/>
      <c r="B32" s="76" t="s">
        <v>41</v>
      </c>
      <c r="C32" s="77" t="s">
        <v>42</v>
      </c>
      <c r="D32" s="85" t="str">
        <f>C24</f>
        <v>..4193</v>
      </c>
      <c r="E32" s="36"/>
      <c r="F32" s="36"/>
      <c r="G32" s="36"/>
      <c r="H32" s="86" t="s">
        <v>43</v>
      </c>
      <c r="I32" s="87"/>
    </row>
    <row r="33" ht="15.75" customHeight="1">
      <c r="A33" s="36"/>
      <c r="B33" s="76" t="s">
        <v>44</v>
      </c>
      <c r="C33" s="77" t="s">
        <v>36</v>
      </c>
      <c r="D33" s="85" t="str">
        <f>C24</f>
        <v>..4193</v>
      </c>
      <c r="E33" s="36"/>
      <c r="F33" s="36"/>
      <c r="G33" s="36"/>
      <c r="H33" s="88">
        <f>SUM(I25:I31)</f>
        <v>0</v>
      </c>
      <c r="I33" s="87"/>
      <c r="M33" s="89"/>
    </row>
    <row r="34" ht="15.75" customHeight="1">
      <c r="A34" s="36"/>
      <c r="B34" s="76" t="s">
        <v>45</v>
      </c>
      <c r="C34" s="77" t="s">
        <v>36</v>
      </c>
      <c r="D34" s="85" t="str">
        <f>C24</f>
        <v>..4193</v>
      </c>
      <c r="E34" s="36"/>
      <c r="F34" s="36"/>
      <c r="G34" s="36"/>
      <c r="H34" s="90">
        <f>H33/B13</f>
        <v>0</v>
      </c>
      <c r="I34" s="87"/>
    </row>
    <row r="35" ht="15.75" customHeight="1">
      <c r="A35" s="36"/>
      <c r="B35" s="76" t="s">
        <v>46</v>
      </c>
      <c r="C35" s="77" t="s">
        <v>36</v>
      </c>
      <c r="D35" s="85" t="str">
        <f>C24</f>
        <v>..4193</v>
      </c>
      <c r="E35" s="36"/>
      <c r="F35" s="36"/>
      <c r="G35" s="36"/>
      <c r="H35" s="36"/>
      <c r="I35" s="36"/>
    </row>
    <row r="36" ht="15.75" customHeight="1">
      <c r="A36" s="36"/>
      <c r="B36" s="76" t="s">
        <v>47</v>
      </c>
      <c r="C36" s="77" t="s">
        <v>36</v>
      </c>
      <c r="D36" s="85" t="str">
        <f>C24</f>
        <v>..4193</v>
      </c>
      <c r="E36" s="36"/>
      <c r="F36" s="36"/>
      <c r="G36" s="36"/>
      <c r="H36" s="36"/>
      <c r="I36" s="36"/>
    </row>
    <row r="37" ht="15.75" customHeight="1">
      <c r="A37" s="36"/>
      <c r="B37" s="76" t="s">
        <v>48</v>
      </c>
      <c r="C37" s="77" t="s">
        <v>36</v>
      </c>
      <c r="D37" s="85" t="str">
        <f>C24</f>
        <v>..4193</v>
      </c>
      <c r="E37" s="36"/>
      <c r="F37" s="36"/>
      <c r="G37" s="36"/>
      <c r="H37" s="36"/>
      <c r="I37" s="36"/>
    </row>
    <row r="38" ht="15.75" customHeight="1">
      <c r="A38" s="36"/>
      <c r="B38" s="76" t="s">
        <v>49</v>
      </c>
      <c r="C38" s="77" t="s">
        <v>36</v>
      </c>
      <c r="D38" s="85" t="str">
        <f>C24</f>
        <v>..4193</v>
      </c>
      <c r="E38" s="36"/>
      <c r="F38" s="36"/>
      <c r="G38" s="36"/>
      <c r="H38" s="36"/>
      <c r="I38" s="36"/>
    </row>
    <row r="39" ht="15.75" customHeight="1">
      <c r="A39" s="36"/>
      <c r="B39" s="76" t="s">
        <v>50</v>
      </c>
      <c r="C39" s="77" t="s">
        <v>36</v>
      </c>
      <c r="D39" s="85" t="str">
        <f>C24</f>
        <v>..4193</v>
      </c>
      <c r="E39" s="36"/>
      <c r="F39" s="36"/>
      <c r="G39" s="36"/>
      <c r="H39" s="36"/>
      <c r="I39" s="36"/>
    </row>
    <row r="40" ht="15.75" customHeight="1">
      <c r="A40" s="36"/>
      <c r="B40" s="76" t="s">
        <v>48</v>
      </c>
      <c r="C40" s="77" t="s">
        <v>36</v>
      </c>
      <c r="D40" s="85" t="str">
        <f>C24</f>
        <v>..4193</v>
      </c>
      <c r="E40" s="36"/>
      <c r="F40" s="36"/>
      <c r="G40" s="36"/>
      <c r="H40" s="36"/>
      <c r="I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3:G4"/>
    <mergeCell ref="H3:I4"/>
    <mergeCell ref="A5:A6"/>
    <mergeCell ref="F5:G5"/>
    <mergeCell ref="H5:I5"/>
    <mergeCell ref="F6:G6"/>
    <mergeCell ref="H6:I6"/>
    <mergeCell ref="H33:I33"/>
    <mergeCell ref="H34:I34"/>
    <mergeCell ref="A7:A8"/>
    <mergeCell ref="A9:A10"/>
    <mergeCell ref="C16:D16"/>
    <mergeCell ref="B23:C23"/>
    <mergeCell ref="H23:I24"/>
    <mergeCell ref="B27:C27"/>
    <mergeCell ref="H32:I32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